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lt-my.sharepoint.com/personal/marijus_mozdeikis_ff_stud_vu_lt/Documents/Vasaros praktika/SPEKTRAI/2025.07.22 0.5 nJ, 0.6-1.0 um/"/>
    </mc:Choice>
  </mc:AlternateContent>
  <xr:revisionPtr revIDLastSave="55" documentId="8_{240DE35F-E763-4D0A-AAE9-37B4CFB1F159}" xr6:coauthVersionLast="47" xr6:coauthVersionMax="47" xr10:uidLastSave="{1E961B09-960D-42F8-9871-63E6546F07F3}"/>
  <bookViews>
    <workbookView xWindow="-108" yWindow="-108" windowWidth="23256" windowHeight="12456" xr2:uid="{E705BEF3-94C5-4D30-B2F9-5CAF45ED8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1" i="1" l="1"/>
  <c r="P111" i="1"/>
  <c r="S110" i="1"/>
  <c r="P110" i="1"/>
  <c r="S109" i="1"/>
  <c r="P109" i="1"/>
  <c r="S108" i="1"/>
  <c r="P108" i="1"/>
  <c r="S107" i="1"/>
  <c r="P107" i="1"/>
  <c r="S97" i="1"/>
  <c r="P97" i="1"/>
  <c r="S96" i="1"/>
  <c r="P96" i="1"/>
  <c r="S95" i="1"/>
  <c r="P95" i="1"/>
  <c r="S94" i="1"/>
  <c r="P94" i="1"/>
  <c r="S93" i="1"/>
  <c r="P93" i="1"/>
  <c r="S83" i="1"/>
  <c r="P83" i="1"/>
  <c r="S82" i="1"/>
  <c r="P82" i="1"/>
  <c r="S81" i="1"/>
  <c r="P81" i="1"/>
  <c r="S66" i="1"/>
  <c r="P66" i="1"/>
  <c r="S65" i="1"/>
  <c r="P65" i="1"/>
  <c r="T64" i="1"/>
  <c r="S64" i="1"/>
  <c r="Q64" i="1"/>
  <c r="P64" i="1"/>
  <c r="T63" i="1"/>
  <c r="S63" i="1"/>
  <c r="R63" i="1"/>
  <c r="Q63" i="1"/>
  <c r="P63" i="1"/>
  <c r="O63" i="1"/>
  <c r="T62" i="1"/>
  <c r="Q62" i="1"/>
  <c r="P48" i="1"/>
  <c r="T51" i="1"/>
  <c r="S52" i="1"/>
  <c r="Q51" i="1"/>
  <c r="P52" i="1"/>
  <c r="T50" i="1"/>
  <c r="S51" i="1"/>
  <c r="Q50" i="1"/>
  <c r="P51" i="1"/>
  <c r="T49" i="1"/>
  <c r="S50" i="1"/>
  <c r="R50" i="1"/>
  <c r="Q49" i="1"/>
  <c r="P50" i="1"/>
  <c r="O50" i="1"/>
  <c r="T48" i="1"/>
  <c r="S49" i="1"/>
  <c r="R49" i="1"/>
  <c r="Q48" i="1"/>
  <c r="P49" i="1"/>
  <c r="O49" i="1"/>
  <c r="S48" i="1"/>
  <c r="R48" i="1"/>
  <c r="O48" i="1"/>
  <c r="O33" i="1"/>
  <c r="P33" i="1"/>
  <c r="Q33" i="1"/>
  <c r="R33" i="1"/>
  <c r="S33" i="1"/>
  <c r="T33" i="1"/>
  <c r="O34" i="1"/>
  <c r="P34" i="1"/>
  <c r="Q34" i="1"/>
  <c r="R34" i="1"/>
  <c r="S34" i="1"/>
  <c r="T34" i="1"/>
  <c r="O35" i="1"/>
  <c r="P35" i="1"/>
  <c r="Q35" i="1"/>
  <c r="R35" i="1"/>
  <c r="S35" i="1"/>
  <c r="T35" i="1"/>
  <c r="P36" i="1"/>
  <c r="Q36" i="1"/>
  <c r="S36" i="1"/>
  <c r="T36" i="1"/>
  <c r="P37" i="1"/>
  <c r="Q37" i="1"/>
  <c r="S37" i="1"/>
  <c r="T37" i="1"/>
  <c r="S23" i="1"/>
  <c r="P23" i="1"/>
  <c r="P22" i="1"/>
  <c r="T23" i="1"/>
  <c r="Q23" i="1"/>
  <c r="T22" i="1"/>
  <c r="S22" i="1"/>
  <c r="Q22" i="1"/>
  <c r="T21" i="1"/>
  <c r="S21" i="1"/>
  <c r="R21" i="1"/>
  <c r="Q21" i="1"/>
  <c r="P21" i="1"/>
  <c r="O21" i="1"/>
  <c r="T20" i="1"/>
  <c r="S20" i="1"/>
  <c r="R20" i="1"/>
  <c r="Q20" i="1"/>
  <c r="P20" i="1"/>
  <c r="O20" i="1"/>
  <c r="T19" i="1"/>
  <c r="S19" i="1"/>
  <c r="R19" i="1"/>
  <c r="Q19" i="1"/>
  <c r="P19" i="1"/>
  <c r="O19" i="1"/>
  <c r="O8" i="1"/>
  <c r="O9" i="1"/>
  <c r="P8" i="1"/>
  <c r="P9" i="1"/>
  <c r="P10" i="1"/>
  <c r="R8" i="1"/>
  <c r="R9" i="1"/>
  <c r="R7" i="1"/>
  <c r="S8" i="1"/>
  <c r="S9" i="1"/>
  <c r="S10" i="1"/>
  <c r="S7" i="1"/>
  <c r="P7" i="1"/>
  <c r="O7" i="1"/>
  <c r="T8" i="1"/>
  <c r="T9" i="1"/>
  <c r="T10" i="1"/>
  <c r="T11" i="1"/>
  <c r="T7" i="1"/>
  <c r="Q8" i="1"/>
  <c r="Q9" i="1"/>
  <c r="Q10" i="1"/>
  <c r="Q11" i="1"/>
  <c r="Q7" i="1"/>
</calcChain>
</file>

<file path=xl/sharedStrings.xml><?xml version="1.0" encoding="utf-8"?>
<sst xmlns="http://schemas.openxmlformats.org/spreadsheetml/2006/main" count="211" uniqueCount="17">
  <si>
    <t>Q</t>
  </si>
  <si>
    <t>MQ</t>
  </si>
  <si>
    <t>P m+1</t>
  </si>
  <si>
    <t>P m-1</t>
  </si>
  <si>
    <t>S</t>
  </si>
  <si>
    <t>1um</t>
  </si>
  <si>
    <t>deg</t>
  </si>
  <si>
    <t>res</t>
  </si>
  <si>
    <t>h</t>
  </si>
  <si>
    <t>fwhm</t>
  </si>
  <si>
    <t>0.9um</t>
  </si>
  <si>
    <t>0.8um</t>
  </si>
  <si>
    <t>0.7um</t>
  </si>
  <si>
    <t>0.6um</t>
  </si>
  <si>
    <t>0.5nJ</t>
  </si>
  <si>
    <t xml:space="preserve">   </t>
  </si>
  <si>
    <t>Pakoreguoti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</si>
</sst>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8E1C-014A-49BF-9A34-0CB258AEAADF}">
  <dimension ref="A1:W111"/>
  <sheetViews>
    <sheetView tabSelected="1" topLeftCell="A15" workbookViewId="0">
      <selection activeCell="R33" sqref="R33:T37"/>
    </sheetView>
  </sheetViews>
  <sheetFormatPr defaultRowHeight="14.4" x14ac:dyDescent="0.3"/>
  <sheetData>
    <row r="1" spans="1:23" ht="18.600000000000001" thickBot="1" x14ac:dyDescent="0.4">
      <c r="A1" s="1" t="s">
        <v>14</v>
      </c>
    </row>
    <row r="4" spans="1:23" x14ac:dyDescent="0.3">
      <c r="D4" t="s">
        <v>2</v>
      </c>
      <c r="H4" t="s">
        <v>3</v>
      </c>
      <c r="L4" t="s">
        <v>4</v>
      </c>
    </row>
    <row r="5" spans="1:23" x14ac:dyDescent="0.3">
      <c r="O5" t="s">
        <v>2</v>
      </c>
      <c r="P5" t="s">
        <v>3</v>
      </c>
      <c r="Q5" t="s">
        <v>4</v>
      </c>
      <c r="R5" t="s">
        <v>2</v>
      </c>
      <c r="S5" t="s">
        <v>3</v>
      </c>
      <c r="T5" t="s">
        <v>4</v>
      </c>
    </row>
    <row r="6" spans="1:23" x14ac:dyDescent="0.3">
      <c r="B6" t="s">
        <v>6</v>
      </c>
      <c r="C6" t="s">
        <v>9</v>
      </c>
      <c r="D6" t="s">
        <v>7</v>
      </c>
      <c r="E6" t="s">
        <v>8</v>
      </c>
      <c r="G6" t="s">
        <v>9</v>
      </c>
      <c r="H6" t="s">
        <v>7</v>
      </c>
      <c r="I6" t="s">
        <v>8</v>
      </c>
      <c r="K6" t="s">
        <v>9</v>
      </c>
      <c r="L6" t="s">
        <v>7</v>
      </c>
      <c r="M6" t="s">
        <v>8</v>
      </c>
      <c r="O6" t="s">
        <v>0</v>
      </c>
      <c r="P6" t="s">
        <v>0</v>
      </c>
      <c r="Q6" t="s">
        <v>0</v>
      </c>
      <c r="R6" t="s">
        <v>1</v>
      </c>
      <c r="S6" t="s">
        <v>1</v>
      </c>
      <c r="T6" t="s">
        <v>1</v>
      </c>
    </row>
    <row r="7" spans="1:23" x14ac:dyDescent="0.3">
      <c r="A7" s="2" t="s">
        <v>5</v>
      </c>
      <c r="B7">
        <v>8</v>
      </c>
      <c r="C7">
        <v>18.83849</v>
      </c>
      <c r="D7">
        <v>875.95</v>
      </c>
      <c r="E7">
        <v>19.992550000000001</v>
      </c>
      <c r="G7">
        <v>21.98245</v>
      </c>
      <c r="H7">
        <v>1159.96</v>
      </c>
      <c r="I7">
        <v>25.430140000000002</v>
      </c>
      <c r="K7">
        <v>19.464089999999999</v>
      </c>
      <c r="L7">
        <v>996.01</v>
      </c>
      <c r="M7">
        <v>32.654539999999997</v>
      </c>
      <c r="O7">
        <f>D7/C7</f>
        <v>46.497888100373224</v>
      </c>
      <c r="P7">
        <f>H7/G7</f>
        <v>52.767548658134103</v>
      </c>
      <c r="Q7">
        <f>L7/K7</f>
        <v>51.171670496796928</v>
      </c>
      <c r="R7">
        <f>D7*E7/C7/100</f>
        <v>9.2961135274111673</v>
      </c>
      <c r="S7">
        <f>H7*I7/G7/100</f>
        <v>13.418861498331626</v>
      </c>
      <c r="T7">
        <f>L7*M7/K7/100</f>
        <v>16.709873611044749</v>
      </c>
    </row>
    <row r="8" spans="1:23" x14ac:dyDescent="0.3">
      <c r="A8" s="2"/>
      <c r="B8">
        <v>15</v>
      </c>
      <c r="C8">
        <v>21.420629999999999</v>
      </c>
      <c r="D8">
        <v>759.97</v>
      </c>
      <c r="E8">
        <v>21.49569</v>
      </c>
      <c r="G8">
        <v>19.410309999999999</v>
      </c>
      <c r="H8">
        <v>1276.1099999999999</v>
      </c>
      <c r="I8">
        <v>25.061869999999999</v>
      </c>
      <c r="K8">
        <v>21.753170000000001</v>
      </c>
      <c r="L8">
        <v>972.03</v>
      </c>
      <c r="M8">
        <v>31.21406</v>
      </c>
      <c r="O8">
        <f>D8/C8</f>
        <v>35.478414967253535</v>
      </c>
      <c r="P8">
        <f>H8/G8</f>
        <v>65.743926810030331</v>
      </c>
      <c r="Q8">
        <f>L8/K8</f>
        <v>44.684521842103926</v>
      </c>
      <c r="R8">
        <f>D8*E8/C8/100</f>
        <v>7.6263300982744218</v>
      </c>
      <c r="S8">
        <f>H8*I8/G8/100</f>
        <v>16.47665747002495</v>
      </c>
      <c r="T8">
        <f>L8*M8/K8/100</f>
        <v>13.947853458507424</v>
      </c>
    </row>
    <row r="9" spans="1:23" x14ac:dyDescent="0.3">
      <c r="A9" s="2"/>
      <c r="B9">
        <v>30</v>
      </c>
      <c r="C9">
        <v>32.529150000000001</v>
      </c>
      <c r="D9">
        <v>547.98</v>
      </c>
      <c r="E9">
        <v>14.63851</v>
      </c>
      <c r="G9">
        <v>16.596340000000001</v>
      </c>
      <c r="H9">
        <v>1512.02</v>
      </c>
      <c r="I9">
        <v>21.854220000000002</v>
      </c>
      <c r="K9">
        <v>26.488399999999999</v>
      </c>
      <c r="L9">
        <v>875.95</v>
      </c>
      <c r="M9">
        <v>20.803090000000001</v>
      </c>
      <c r="O9">
        <f>D9/C9</f>
        <v>16.845813677885836</v>
      </c>
      <c r="P9">
        <f>H9/G9</f>
        <v>91.105629313451033</v>
      </c>
      <c r="Q9">
        <f>L9/K9</f>
        <v>33.06919255221154</v>
      </c>
      <c r="R9">
        <f>D9*E9/C9/100</f>
        <v>2.4659761198186856</v>
      </c>
      <c r="S9">
        <f>H9*I9/G9/100</f>
        <v>19.910424662546077</v>
      </c>
      <c r="T9">
        <f>L9*M9/K9/100</f>
        <v>6.8794138889098644</v>
      </c>
    </row>
    <row r="10" spans="1:23" x14ac:dyDescent="0.3">
      <c r="A10" s="2"/>
      <c r="B10">
        <v>45</v>
      </c>
      <c r="G10">
        <v>16.852910000000001</v>
      </c>
      <c r="H10">
        <v>1715.96</v>
      </c>
      <c r="I10">
        <v>29.47551</v>
      </c>
      <c r="K10">
        <v>31.677630000000001</v>
      </c>
      <c r="L10">
        <v>728.02</v>
      </c>
      <c r="M10">
        <v>22.078060000000001</v>
      </c>
      <c r="P10">
        <f>H10/G10</f>
        <v>101.81980441359978</v>
      </c>
      <c r="Q10">
        <f>L10/K10</f>
        <v>22.982148601394737</v>
      </c>
      <c r="S10">
        <f>H10*I10/G10/100</f>
        <v>30.011906631911046</v>
      </c>
      <c r="T10">
        <f>L10*M10/K10/100</f>
        <v>5.0740125575050907</v>
      </c>
    </row>
    <row r="11" spans="1:23" x14ac:dyDescent="0.3">
      <c r="A11" s="2"/>
      <c r="B11">
        <v>60</v>
      </c>
      <c r="K11">
        <v>43.71996</v>
      </c>
      <c r="L11">
        <v>567.97</v>
      </c>
      <c r="M11">
        <v>24.951360000000001</v>
      </c>
      <c r="Q11">
        <f>L11/K11</f>
        <v>12.991091483157808</v>
      </c>
      <c r="T11">
        <f>L11*M11/K11/100</f>
        <v>3.2414540038920436</v>
      </c>
    </row>
    <row r="15" spans="1:23" x14ac:dyDescent="0.3">
      <c r="W15" t="s">
        <v>15</v>
      </c>
    </row>
    <row r="16" spans="1:23" x14ac:dyDescent="0.3">
      <c r="D16" t="s">
        <v>2</v>
      </c>
      <c r="H16" t="s">
        <v>3</v>
      </c>
      <c r="L16" t="s">
        <v>4</v>
      </c>
    </row>
    <row r="17" spans="1:20" x14ac:dyDescent="0.3">
      <c r="O17" t="s">
        <v>2</v>
      </c>
      <c r="P17" t="s">
        <v>3</v>
      </c>
      <c r="Q17" t="s">
        <v>4</v>
      </c>
      <c r="R17" t="s">
        <v>2</v>
      </c>
      <c r="S17" t="s">
        <v>3</v>
      </c>
      <c r="T17" t="s">
        <v>4</v>
      </c>
    </row>
    <row r="18" spans="1:20" x14ac:dyDescent="0.3">
      <c r="B18" t="s">
        <v>6</v>
      </c>
      <c r="C18" t="s">
        <v>9</v>
      </c>
      <c r="D18" t="s">
        <v>7</v>
      </c>
      <c r="E18" t="s">
        <v>8</v>
      </c>
      <c r="G18" t="s">
        <v>9</v>
      </c>
      <c r="H18" t="s">
        <v>7</v>
      </c>
      <c r="I18" t="s">
        <v>8</v>
      </c>
      <c r="K18" t="s">
        <v>9</v>
      </c>
      <c r="L18" t="s">
        <v>7</v>
      </c>
      <c r="M18" t="s">
        <v>8</v>
      </c>
      <c r="O18" t="s">
        <v>0</v>
      </c>
      <c r="P18" t="s">
        <v>0</v>
      </c>
      <c r="Q18" t="s">
        <v>0</v>
      </c>
      <c r="R18" t="s">
        <v>1</v>
      </c>
      <c r="S18" t="s">
        <v>1</v>
      </c>
      <c r="T18" t="s">
        <v>1</v>
      </c>
    </row>
    <row r="19" spans="1:20" x14ac:dyDescent="0.3">
      <c r="A19" s="2" t="s">
        <v>10</v>
      </c>
      <c r="B19">
        <v>8</v>
      </c>
      <c r="C19">
        <v>19.621970000000001</v>
      </c>
      <c r="D19">
        <v>791.95</v>
      </c>
      <c r="E19">
        <v>22.100829999999998</v>
      </c>
      <c r="G19">
        <v>20.056529999999999</v>
      </c>
      <c r="H19">
        <v>1044.0899999999999</v>
      </c>
      <c r="I19">
        <v>30.049880000000002</v>
      </c>
      <c r="K19">
        <v>20.86233</v>
      </c>
      <c r="L19">
        <v>899.98</v>
      </c>
      <c r="M19">
        <v>32.540469999999999</v>
      </c>
      <c r="O19">
        <f>D19/C19</f>
        <v>40.360371563099932</v>
      </c>
      <c r="P19">
        <f>H19/G19</f>
        <v>52.057359872320887</v>
      </c>
      <c r="Q19">
        <f>L19/K19</f>
        <v>43.138997417833963</v>
      </c>
      <c r="R19">
        <f>D19*E19/C19/100</f>
        <v>8.919977106529057</v>
      </c>
      <c r="S19">
        <f>H19*I19/G19/100</f>
        <v>15.643174172800579</v>
      </c>
      <c r="T19">
        <f>L19*M19/K19/100</f>
        <v>14.037632513051035</v>
      </c>
    </row>
    <row r="20" spans="1:20" x14ac:dyDescent="0.3">
      <c r="A20" s="2"/>
      <c r="B20">
        <v>15</v>
      </c>
      <c r="C20">
        <v>22.25159</v>
      </c>
      <c r="D20">
        <v>692.01</v>
      </c>
      <c r="E20">
        <v>20.37</v>
      </c>
      <c r="G20">
        <v>18.93468</v>
      </c>
      <c r="H20">
        <v>1148.08</v>
      </c>
      <c r="I20">
        <v>31.76125</v>
      </c>
      <c r="K20">
        <v>21.456160000000001</v>
      </c>
      <c r="L20">
        <v>879.96</v>
      </c>
      <c r="M20">
        <v>31.582519999999999</v>
      </c>
      <c r="O20">
        <f t="shared" ref="O20:O21" si="0">D20/C20</f>
        <v>31.099350653144338</v>
      </c>
      <c r="P20">
        <f t="shared" ref="P20:P21" si="1">H20/G20</f>
        <v>60.633715489250406</v>
      </c>
      <c r="Q20">
        <f t="shared" ref="Q20:Q23" si="2">L20/K20</f>
        <v>41.011998419102021</v>
      </c>
      <c r="R20">
        <f t="shared" ref="R20:R21" si="3">D20*E20/C20/100</f>
        <v>6.3349377280455021</v>
      </c>
      <c r="S20">
        <f t="shared" ref="S20:S23" si="4">H20*I20/G20/100</f>
        <v>19.258025960829549</v>
      </c>
      <c r="T20">
        <f t="shared" ref="T20:T23" si="5">L20*M20/K20/100</f>
        <v>12.95262260311258</v>
      </c>
    </row>
    <row r="21" spans="1:20" x14ac:dyDescent="0.3">
      <c r="A21" s="2"/>
      <c r="B21">
        <v>30</v>
      </c>
      <c r="C21">
        <v>33.133200000000002</v>
      </c>
      <c r="D21">
        <v>507.97</v>
      </c>
      <c r="E21">
        <v>13.53505</v>
      </c>
      <c r="G21">
        <v>16.122779999999999</v>
      </c>
      <c r="H21">
        <v>1359.98</v>
      </c>
      <c r="I21">
        <v>24.983049999999999</v>
      </c>
      <c r="K21">
        <v>24.745940000000001</v>
      </c>
      <c r="L21">
        <v>791.95</v>
      </c>
      <c r="M21">
        <v>22.701160000000002</v>
      </c>
      <c r="O21">
        <f t="shared" si="0"/>
        <v>15.331148213876112</v>
      </c>
      <c r="P21">
        <f t="shared" si="1"/>
        <v>84.351457999178805</v>
      </c>
      <c r="Q21">
        <f t="shared" si="2"/>
        <v>32.003229620697375</v>
      </c>
      <c r="R21">
        <f t="shared" si="3"/>
        <v>2.0750785763222388</v>
      </c>
      <c r="S21">
        <f t="shared" si="4"/>
        <v>21.073566927663837</v>
      </c>
      <c r="T21">
        <f t="shared" si="5"/>
        <v>7.2651043613619049</v>
      </c>
    </row>
    <row r="22" spans="1:20" x14ac:dyDescent="0.3">
      <c r="A22" s="2"/>
      <c r="B22">
        <v>45</v>
      </c>
      <c r="G22">
        <v>17.11232</v>
      </c>
      <c r="H22">
        <v>1544.09</v>
      </c>
      <c r="I22">
        <v>27.797809999999998</v>
      </c>
      <c r="K22">
        <v>32.910409999999999</v>
      </c>
      <c r="L22">
        <v>663.95</v>
      </c>
      <c r="M22">
        <v>24.983529999999998</v>
      </c>
      <c r="P22">
        <f>H22/G22</f>
        <v>90.232651095818682</v>
      </c>
      <c r="Q22">
        <f t="shared" si="2"/>
        <v>20.174467592473022</v>
      </c>
      <c r="S22">
        <f t="shared" si="4"/>
        <v>25.082700909578595</v>
      </c>
      <c r="T22">
        <f t="shared" si="5"/>
        <v>5.0402941633057745</v>
      </c>
    </row>
    <row r="23" spans="1:20" x14ac:dyDescent="0.3">
      <c r="A23" s="2"/>
      <c r="B23">
        <v>60</v>
      </c>
      <c r="G23">
        <v>39.585680000000004</v>
      </c>
      <c r="H23">
        <v>1684.05</v>
      </c>
      <c r="I23">
        <v>28.38937</v>
      </c>
      <c r="K23">
        <v>49.398180000000004</v>
      </c>
      <c r="L23">
        <v>535.99</v>
      </c>
      <c r="M23">
        <v>24.891629999999999</v>
      </c>
      <c r="P23">
        <f>H23/G23</f>
        <v>42.541898989735678</v>
      </c>
      <c r="Q23">
        <f t="shared" si="2"/>
        <v>10.850399751569794</v>
      </c>
      <c r="S23">
        <f t="shared" si="4"/>
        <v>12.077377109222322</v>
      </c>
      <c r="T23">
        <f t="shared" si="5"/>
        <v>2.7008413596816725</v>
      </c>
    </row>
    <row r="30" spans="1:20" x14ac:dyDescent="0.3">
      <c r="D30" t="s">
        <v>2</v>
      </c>
      <c r="H30" t="s">
        <v>3</v>
      </c>
      <c r="L30" t="s">
        <v>4</v>
      </c>
    </row>
    <row r="31" spans="1:20" x14ac:dyDescent="0.3">
      <c r="O31" t="s">
        <v>2</v>
      </c>
      <c r="P31" t="s">
        <v>3</v>
      </c>
      <c r="Q31" t="s">
        <v>4</v>
      </c>
      <c r="R31" t="s">
        <v>2</v>
      </c>
      <c r="S31" t="s">
        <v>3</v>
      </c>
      <c r="T31" t="s">
        <v>4</v>
      </c>
    </row>
    <row r="32" spans="1:20" x14ac:dyDescent="0.3">
      <c r="B32" t="s">
        <v>6</v>
      </c>
      <c r="C32" t="s">
        <v>9</v>
      </c>
      <c r="D32" t="s">
        <v>7</v>
      </c>
      <c r="E32" t="s">
        <v>8</v>
      </c>
      <c r="G32" t="s">
        <v>9</v>
      </c>
      <c r="H32" t="s">
        <v>7</v>
      </c>
      <c r="I32" t="s">
        <v>8</v>
      </c>
      <c r="K32" t="s">
        <v>9</v>
      </c>
      <c r="L32" t="s">
        <v>7</v>
      </c>
      <c r="M32" t="s">
        <v>8</v>
      </c>
      <c r="O32" t="s">
        <v>0</v>
      </c>
      <c r="P32" t="s">
        <v>0</v>
      </c>
      <c r="Q32" t="s">
        <v>0</v>
      </c>
      <c r="R32" t="s">
        <v>1</v>
      </c>
      <c r="S32" t="s">
        <v>1</v>
      </c>
      <c r="T32" t="s">
        <v>1</v>
      </c>
    </row>
    <row r="33" spans="1:20" x14ac:dyDescent="0.3">
      <c r="A33" s="2" t="s">
        <v>11</v>
      </c>
      <c r="B33">
        <v>8</v>
      </c>
      <c r="C33">
        <v>21.50637</v>
      </c>
      <c r="D33">
        <v>708.04</v>
      </c>
      <c r="E33">
        <v>28.881229999999999</v>
      </c>
      <c r="G33">
        <v>18.069769999999998</v>
      </c>
      <c r="H33">
        <v>932.02</v>
      </c>
      <c r="I33">
        <v>42.271459999999998</v>
      </c>
      <c r="K33">
        <v>29.26351</v>
      </c>
      <c r="L33">
        <v>804.05</v>
      </c>
      <c r="M33">
        <v>34.078470000000003</v>
      </c>
      <c r="O33">
        <f>D33/C33</f>
        <v>32.922338823334663</v>
      </c>
      <c r="P33">
        <f>H33/G33</f>
        <v>51.578963096929293</v>
      </c>
      <c r="Q33">
        <f>L33/K33</f>
        <v>27.47619817308313</v>
      </c>
      <c r="R33">
        <f>D33*E33/C33/100</f>
        <v>9.5083763969465789</v>
      </c>
      <c r="S33">
        <f>H33*I33/G33/100</f>
        <v>21.80318075393323</v>
      </c>
      <c r="T33">
        <f>L33*M33/K33/100</f>
        <v>9.3634679515546839</v>
      </c>
    </row>
    <row r="34" spans="1:20" x14ac:dyDescent="0.3">
      <c r="A34" s="2"/>
      <c r="B34">
        <v>15</v>
      </c>
      <c r="C34">
        <v>23.773969999999998</v>
      </c>
      <c r="D34">
        <v>623.96</v>
      </c>
      <c r="E34">
        <v>25.530339999999999</v>
      </c>
      <c r="G34">
        <v>17.06579</v>
      </c>
      <c r="H34">
        <v>1023.99</v>
      </c>
      <c r="I34">
        <v>39.897359999999999</v>
      </c>
      <c r="K34">
        <v>32.888489999999997</v>
      </c>
      <c r="L34">
        <v>788.02</v>
      </c>
      <c r="M34">
        <v>32.65249</v>
      </c>
      <c r="O34">
        <f t="shared" ref="O34:O35" si="6">D34/C34</f>
        <v>26.245511372311821</v>
      </c>
      <c r="P34">
        <f t="shared" ref="P34:P35" si="7">H34/G34</f>
        <v>60.002496221973907</v>
      </c>
      <c r="Q34">
        <f t="shared" ref="Q34:Q37" si="8">L34/K34</f>
        <v>23.96035816785751</v>
      </c>
      <c r="R34">
        <f t="shared" ref="R34:R35" si="9">D34*E34/C34/100</f>
        <v>6.7005682880898734</v>
      </c>
      <c r="S34">
        <f t="shared" ref="S34:S37" si="10">H34*I34/G34/100</f>
        <v>23.939411926667326</v>
      </c>
      <c r="T34">
        <f t="shared" ref="T34:T37" si="11">L34*M34/K34/100</f>
        <v>7.8236535547238564</v>
      </c>
    </row>
    <row r="35" spans="1:20" x14ac:dyDescent="0.3">
      <c r="A35" s="2"/>
      <c r="B35">
        <v>30</v>
      </c>
      <c r="C35">
        <v>41.021169999999998</v>
      </c>
      <c r="D35">
        <v>472.03</v>
      </c>
      <c r="E35">
        <v>11.87401</v>
      </c>
      <c r="G35">
        <v>14.66943</v>
      </c>
      <c r="H35">
        <v>1212.02</v>
      </c>
      <c r="I35">
        <v>33.747520000000002</v>
      </c>
      <c r="K35">
        <v>53.744520000000001</v>
      </c>
      <c r="L35">
        <v>708.04</v>
      </c>
      <c r="M35">
        <v>28.175329999999999</v>
      </c>
      <c r="O35">
        <f t="shared" si="6"/>
        <v>11.50698529564125</v>
      </c>
      <c r="P35">
        <f t="shared" si="7"/>
        <v>82.622160506577288</v>
      </c>
      <c r="Q35">
        <f t="shared" si="8"/>
        <v>13.174180362946769</v>
      </c>
      <c r="R35">
        <f t="shared" si="9"/>
        <v>1.3663405847029717</v>
      </c>
      <c r="S35">
        <f t="shared" si="10"/>
        <v>27.88293014138927</v>
      </c>
      <c r="T35">
        <f t="shared" si="11"/>
        <v>3.7118687920554505</v>
      </c>
    </row>
    <row r="36" spans="1:20" x14ac:dyDescent="0.3">
      <c r="A36" s="2"/>
      <c r="B36">
        <v>45</v>
      </c>
      <c r="G36">
        <v>14.1411</v>
      </c>
      <c r="H36">
        <v>1376.09</v>
      </c>
      <c r="I36">
        <v>32.507350000000002</v>
      </c>
      <c r="K36">
        <v>47.58746</v>
      </c>
      <c r="L36">
        <v>603.99</v>
      </c>
      <c r="M36">
        <v>33.113289999999999</v>
      </c>
      <c r="P36">
        <f>H36/G36</f>
        <v>97.311383131439555</v>
      </c>
      <c r="Q36">
        <f t="shared" si="8"/>
        <v>12.69220925008395</v>
      </c>
      <c r="S36">
        <f t="shared" si="10"/>
        <v>31.633351904378017</v>
      </c>
      <c r="T36">
        <f t="shared" si="11"/>
        <v>4.2028080563871235</v>
      </c>
    </row>
    <row r="37" spans="1:20" x14ac:dyDescent="0.3">
      <c r="A37" s="2"/>
      <c r="B37">
        <v>60</v>
      </c>
      <c r="G37">
        <v>40.498829999999998</v>
      </c>
      <c r="H37">
        <v>1499.99</v>
      </c>
      <c r="I37">
        <v>29.053370000000001</v>
      </c>
      <c r="K37">
        <v>56.834789999999998</v>
      </c>
      <c r="L37">
        <v>499.98</v>
      </c>
      <c r="M37">
        <v>29.00638</v>
      </c>
      <c r="P37">
        <f>H37/G37</f>
        <v>37.037860106082078</v>
      </c>
      <c r="Q37">
        <f t="shared" si="8"/>
        <v>8.7970765793275572</v>
      </c>
      <c r="S37">
        <f t="shared" si="10"/>
        <v>10.76074653670242</v>
      </c>
      <c r="T37">
        <f t="shared" si="11"/>
        <v>2.5517134614907526</v>
      </c>
    </row>
    <row r="45" spans="1:20" x14ac:dyDescent="0.3">
      <c r="D45" t="s">
        <v>2</v>
      </c>
      <c r="H45" t="s">
        <v>3</v>
      </c>
      <c r="L45" t="s">
        <v>4</v>
      </c>
    </row>
    <row r="46" spans="1:20" x14ac:dyDescent="0.3">
      <c r="O46" t="s">
        <v>2</v>
      </c>
      <c r="P46" t="s">
        <v>3</v>
      </c>
      <c r="Q46" t="s">
        <v>4</v>
      </c>
      <c r="R46" t="s">
        <v>2</v>
      </c>
      <c r="S46" t="s">
        <v>3</v>
      </c>
      <c r="T46" t="s">
        <v>4</v>
      </c>
    </row>
    <row r="47" spans="1:20" x14ac:dyDescent="0.3">
      <c r="B47" t="s">
        <v>6</v>
      </c>
      <c r="C47" t="s">
        <v>9</v>
      </c>
      <c r="D47" t="s">
        <v>7</v>
      </c>
      <c r="E47" t="s">
        <v>8</v>
      </c>
      <c r="G47" t="s">
        <v>9</v>
      </c>
      <c r="H47" t="s">
        <v>7</v>
      </c>
      <c r="I47" t="s">
        <v>8</v>
      </c>
      <c r="K47" t="s">
        <v>9</v>
      </c>
      <c r="L47" t="s">
        <v>7</v>
      </c>
      <c r="M47" t="s">
        <v>8</v>
      </c>
      <c r="O47" t="s">
        <v>0</v>
      </c>
      <c r="P47" t="s">
        <v>0</v>
      </c>
      <c r="Q47" t="s">
        <v>0</v>
      </c>
      <c r="R47" t="s">
        <v>1</v>
      </c>
      <c r="S47" t="s">
        <v>1</v>
      </c>
      <c r="T47" t="s">
        <v>1</v>
      </c>
    </row>
    <row r="48" spans="1:20" x14ac:dyDescent="0.3">
      <c r="A48" s="2" t="s">
        <v>12</v>
      </c>
      <c r="B48">
        <v>8</v>
      </c>
      <c r="C48">
        <v>38.524299999999997</v>
      </c>
      <c r="D48">
        <v>620.04</v>
      </c>
      <c r="E48">
        <v>8.2928700000000006</v>
      </c>
      <c r="G48">
        <v>21.525790000000001</v>
      </c>
      <c r="H48">
        <v>804.05</v>
      </c>
      <c r="I48">
        <v>4.2485400000000002</v>
      </c>
      <c r="K48">
        <v>52.890090000000001</v>
      </c>
      <c r="L48">
        <v>684</v>
      </c>
      <c r="M48">
        <v>11.669219999999999</v>
      </c>
      <c r="O48">
        <f>D48/C48</f>
        <v>16.094776543636094</v>
      </c>
      <c r="P48">
        <f>H48/G48</f>
        <v>37.352868350011775</v>
      </c>
      <c r="Q48">
        <f>L48/K48</f>
        <v>12.932479411549497</v>
      </c>
      <c r="R48">
        <f>D48*E48/C48/100</f>
        <v>1.3347188955542348</v>
      </c>
      <c r="S48">
        <f>H48*I48/G48/100</f>
        <v>1.5869515529975902</v>
      </c>
      <c r="T48">
        <f>L48*M48/K48/100</f>
        <v>1.5091194739884162</v>
      </c>
    </row>
    <row r="49" spans="1:20" x14ac:dyDescent="0.3">
      <c r="A49" s="2"/>
      <c r="B49">
        <v>15</v>
      </c>
      <c r="C49">
        <v>72.451840000000004</v>
      </c>
      <c r="D49">
        <v>528.02</v>
      </c>
      <c r="E49">
        <v>9</v>
      </c>
      <c r="G49">
        <v>35.496400000000001</v>
      </c>
      <c r="H49">
        <v>891.99</v>
      </c>
      <c r="I49">
        <v>8.7636099999999999</v>
      </c>
      <c r="K49">
        <v>37.332819999999998</v>
      </c>
      <c r="L49">
        <v>627.97</v>
      </c>
      <c r="M49">
        <v>11.92681</v>
      </c>
      <c r="O49">
        <f t="shared" ref="O49:O50" si="12">D49/C49</f>
        <v>7.2878756426337823</v>
      </c>
      <c r="P49">
        <f t="shared" ref="P49:P50" si="13">H49/G49</f>
        <v>25.129027168952344</v>
      </c>
      <c r="Q49">
        <f>L49/K49</f>
        <v>16.820856286773946</v>
      </c>
      <c r="R49">
        <f t="shared" ref="R49:R50" si="14">D49*E49/C49/100</f>
        <v>0.65590880783704042</v>
      </c>
      <c r="S49">
        <f t="shared" ref="S49:S52" si="15">H49*I49/G49/100</f>
        <v>2.2022099378810243</v>
      </c>
      <c r="T49">
        <f>L49*M49/K49/100</f>
        <v>2.0061915696965835</v>
      </c>
    </row>
    <row r="50" spans="1:20" x14ac:dyDescent="0.3">
      <c r="A50" s="2"/>
      <c r="B50">
        <v>30</v>
      </c>
      <c r="C50">
        <v>74.186419999999998</v>
      </c>
      <c r="D50">
        <v>620.04</v>
      </c>
      <c r="E50">
        <v>6.5304099999999998</v>
      </c>
      <c r="G50">
        <v>51.783259999999999</v>
      </c>
      <c r="H50">
        <v>1071.8900000000001</v>
      </c>
      <c r="I50">
        <v>14.14222</v>
      </c>
      <c r="K50">
        <v>69.896929999999998</v>
      </c>
      <c r="L50">
        <v>543.95000000000005</v>
      </c>
      <c r="M50">
        <v>8.2011599999999998</v>
      </c>
      <c r="O50">
        <f t="shared" si="12"/>
        <v>8.3578638785912567</v>
      </c>
      <c r="P50">
        <f t="shared" si="13"/>
        <v>20.699546532991551</v>
      </c>
      <c r="Q50">
        <f>L50/K50</f>
        <v>7.7821729795571857</v>
      </c>
      <c r="R50">
        <f t="shared" si="14"/>
        <v>0.54580277851391124</v>
      </c>
      <c r="S50">
        <f t="shared" si="15"/>
        <v>2.9273754096980378</v>
      </c>
      <c r="T50">
        <f>L50*M50/K50/100</f>
        <v>0.63822845753025204</v>
      </c>
    </row>
    <row r="51" spans="1:20" x14ac:dyDescent="0.3">
      <c r="A51" s="2"/>
      <c r="B51">
        <v>45</v>
      </c>
      <c r="G51">
        <v>71.011309999999995</v>
      </c>
      <c r="H51">
        <v>1220.1099999999999</v>
      </c>
      <c r="I51">
        <v>19.92643</v>
      </c>
      <c r="K51">
        <v>47.666899999999998</v>
      </c>
      <c r="L51">
        <v>699.95</v>
      </c>
      <c r="M51">
        <v>12.637510000000001</v>
      </c>
      <c r="P51">
        <f>H51/G51</f>
        <v>17.181910881520142</v>
      </c>
      <c r="Q51">
        <f>L51/K51</f>
        <v>14.684193853596522</v>
      </c>
      <c r="S51">
        <f t="shared" si="15"/>
        <v>3.4237414444684937</v>
      </c>
      <c r="T51">
        <f>L51*M51/K51/100</f>
        <v>1.855716466667646</v>
      </c>
    </row>
    <row r="52" spans="1:20" x14ac:dyDescent="0.3">
      <c r="A52" s="2"/>
      <c r="B52">
        <v>60</v>
      </c>
      <c r="G52">
        <v>67.46611</v>
      </c>
      <c r="H52">
        <v>1323.98</v>
      </c>
      <c r="I52">
        <v>15.37481</v>
      </c>
      <c r="P52">
        <f>H52/G52</f>
        <v>19.624371406621783</v>
      </c>
      <c r="S52">
        <f t="shared" si="15"/>
        <v>3.0172098174624269</v>
      </c>
    </row>
    <row r="59" spans="1:20" x14ac:dyDescent="0.3">
      <c r="D59" t="s">
        <v>2</v>
      </c>
      <c r="H59" t="s">
        <v>3</v>
      </c>
      <c r="L59" t="s">
        <v>4</v>
      </c>
    </row>
    <row r="60" spans="1:20" x14ac:dyDescent="0.3">
      <c r="O60" t="s">
        <v>2</v>
      </c>
      <c r="P60" t="s">
        <v>3</v>
      </c>
      <c r="Q60" t="s">
        <v>4</v>
      </c>
      <c r="R60" t="s">
        <v>2</v>
      </c>
      <c r="S60" t="s">
        <v>3</v>
      </c>
      <c r="T60" t="s">
        <v>4</v>
      </c>
    </row>
    <row r="61" spans="1:20" x14ac:dyDescent="0.3">
      <c r="B61" t="s">
        <v>6</v>
      </c>
      <c r="C61" t="s">
        <v>9</v>
      </c>
      <c r="D61" t="s">
        <v>7</v>
      </c>
      <c r="E61" t="s">
        <v>8</v>
      </c>
      <c r="G61" t="s">
        <v>9</v>
      </c>
      <c r="H61" t="s">
        <v>7</v>
      </c>
      <c r="I61" t="s">
        <v>8</v>
      </c>
      <c r="K61" t="s">
        <v>9</v>
      </c>
      <c r="L61" t="s">
        <v>7</v>
      </c>
      <c r="M61" t="s">
        <v>8</v>
      </c>
      <c r="O61" t="s">
        <v>0</v>
      </c>
      <c r="P61" t="s">
        <v>0</v>
      </c>
      <c r="Q61" t="s">
        <v>0</v>
      </c>
      <c r="R61" t="s">
        <v>1</v>
      </c>
      <c r="S61" t="s">
        <v>1</v>
      </c>
      <c r="T61" t="s">
        <v>1</v>
      </c>
    </row>
    <row r="62" spans="1:20" x14ac:dyDescent="0.3">
      <c r="A62" s="2" t="s">
        <v>13</v>
      </c>
      <c r="B62">
        <v>8</v>
      </c>
      <c r="K62">
        <v>43.645530000000001</v>
      </c>
      <c r="L62">
        <v>599.98</v>
      </c>
      <c r="M62">
        <v>10.713570000000001</v>
      </c>
      <c r="Q62">
        <f>L62/K62</f>
        <v>13.746654010158657</v>
      </c>
      <c r="T62">
        <f>L62*M62/K62/100</f>
        <v>1.4727574000361552</v>
      </c>
    </row>
    <row r="63" spans="1:20" x14ac:dyDescent="0.3">
      <c r="A63" s="2"/>
      <c r="B63">
        <v>15</v>
      </c>
      <c r="C63">
        <v>41.713990000000003</v>
      </c>
      <c r="D63">
        <v>448.02</v>
      </c>
      <c r="E63">
        <v>3.57897</v>
      </c>
      <c r="G63">
        <v>18.882100000000001</v>
      </c>
      <c r="H63">
        <v>759.97</v>
      </c>
      <c r="I63">
        <v>1.77444</v>
      </c>
      <c r="K63">
        <v>48.026780000000002</v>
      </c>
      <c r="L63">
        <v>584.03</v>
      </c>
      <c r="M63">
        <v>10.581189999999999</v>
      </c>
      <c r="O63">
        <f t="shared" ref="O63" si="16">D63/C63</f>
        <v>10.740281617749824</v>
      </c>
      <c r="P63">
        <f t="shared" ref="P63:P64" si="17">H63/G63</f>
        <v>40.248171548715447</v>
      </c>
      <c r="Q63">
        <f>L63/K63</f>
        <v>12.160507117070933</v>
      </c>
      <c r="R63">
        <f t="shared" ref="R63" si="18">D63*E63/C63/100</f>
        <v>0.38439145701478084</v>
      </c>
      <c r="S63">
        <f t="shared" ref="S63:S66" si="19">H63*I63/G63/100</f>
        <v>0.71417965522902649</v>
      </c>
      <c r="T63">
        <f>L63*M63/K63/100</f>
        <v>1.2867263630207979</v>
      </c>
    </row>
    <row r="64" spans="1:20" x14ac:dyDescent="0.3">
      <c r="A64" s="2"/>
      <c r="B64">
        <v>30</v>
      </c>
      <c r="G64">
        <v>74.267009999999999</v>
      </c>
      <c r="H64">
        <v>927.98</v>
      </c>
      <c r="I64">
        <v>6.0901800000000001</v>
      </c>
      <c r="K64">
        <v>36.755369999999999</v>
      </c>
      <c r="L64">
        <v>547.98</v>
      </c>
      <c r="M64">
        <v>10.231109999999999</v>
      </c>
      <c r="P64">
        <f t="shared" si="17"/>
        <v>12.495184604846756</v>
      </c>
      <c r="Q64">
        <f>L64/K64</f>
        <v>14.908841891674605</v>
      </c>
      <c r="S64">
        <f t="shared" si="19"/>
        <v>0.76097923376745624</v>
      </c>
      <c r="T64">
        <f>L64*M64/K64/100</f>
        <v>1.5253400136633095</v>
      </c>
    </row>
    <row r="65" spans="1:20" x14ac:dyDescent="0.3">
      <c r="A65" s="2"/>
      <c r="B65">
        <v>45</v>
      </c>
      <c r="G65">
        <v>82.748599999999996</v>
      </c>
      <c r="H65">
        <v>1071.8900000000001</v>
      </c>
      <c r="I65">
        <v>13.059089999999999</v>
      </c>
      <c r="P65">
        <f>H65/G65</f>
        <v>12.953572628419092</v>
      </c>
      <c r="S65">
        <f t="shared" si="19"/>
        <v>1.6916187077606148</v>
      </c>
    </row>
    <row r="66" spans="1:20" x14ac:dyDescent="0.3">
      <c r="A66" s="2"/>
      <c r="B66">
        <v>60</v>
      </c>
      <c r="G66">
        <v>76.752679999999998</v>
      </c>
      <c r="H66">
        <v>1135.9100000000001</v>
      </c>
      <c r="I66">
        <v>12.974769999999999</v>
      </c>
      <c r="P66">
        <f>H66/G66</f>
        <v>14.799613511866948</v>
      </c>
      <c r="S66">
        <f t="shared" si="19"/>
        <v>1.9202158140536592</v>
      </c>
    </row>
    <row r="71" spans="1:20" x14ac:dyDescent="0.3">
      <c r="G71" s="3" t="s">
        <v>16</v>
      </c>
      <c r="H71" s="3"/>
      <c r="I71" s="3"/>
      <c r="J71" s="3"/>
      <c r="K71" s="3"/>
      <c r="L71" s="3"/>
      <c r="M71" s="3"/>
      <c r="N71" s="3"/>
      <c r="O71" s="3"/>
    </row>
    <row r="72" spans="1:20" x14ac:dyDescent="0.3">
      <c r="G72" s="3"/>
      <c r="H72" s="3"/>
      <c r="I72" s="3"/>
      <c r="J72" s="3"/>
      <c r="K72" s="3"/>
      <c r="L72" s="3"/>
      <c r="M72" s="3"/>
      <c r="N72" s="3"/>
      <c r="O72" s="3"/>
    </row>
    <row r="73" spans="1:20" x14ac:dyDescent="0.3">
      <c r="G73" s="3"/>
      <c r="H73" s="3"/>
      <c r="I73" s="3"/>
      <c r="J73" s="3"/>
      <c r="K73" s="3"/>
      <c r="L73" s="3"/>
      <c r="M73" s="3"/>
      <c r="N73" s="3"/>
      <c r="O73" s="3"/>
    </row>
    <row r="78" spans="1:20" x14ac:dyDescent="0.3">
      <c r="D78" t="s">
        <v>2</v>
      </c>
      <c r="H78" t="s">
        <v>3</v>
      </c>
      <c r="L78" t="s">
        <v>4</v>
      </c>
    </row>
    <row r="79" spans="1:20" x14ac:dyDescent="0.3">
      <c r="O79" t="s">
        <v>2</v>
      </c>
      <c r="P79" t="s">
        <v>3</v>
      </c>
      <c r="Q79" t="s">
        <v>4</v>
      </c>
      <c r="R79" t="s">
        <v>2</v>
      </c>
      <c r="S79" t="s">
        <v>3</v>
      </c>
      <c r="T79" t="s">
        <v>4</v>
      </c>
    </row>
    <row r="80" spans="1:20" x14ac:dyDescent="0.3">
      <c r="B80" t="s">
        <v>6</v>
      </c>
      <c r="C80" t="s">
        <v>9</v>
      </c>
      <c r="D80" t="s">
        <v>7</v>
      </c>
      <c r="E80" t="s">
        <v>8</v>
      </c>
      <c r="G80" t="s">
        <v>9</v>
      </c>
      <c r="H80" t="s">
        <v>7</v>
      </c>
      <c r="I80" t="s">
        <v>8</v>
      </c>
      <c r="K80" t="s">
        <v>9</v>
      </c>
      <c r="L80" t="s">
        <v>7</v>
      </c>
      <c r="M80" t="s">
        <v>8</v>
      </c>
      <c r="O80" t="s">
        <v>0</v>
      </c>
      <c r="P80" t="s">
        <v>0</v>
      </c>
      <c r="Q80" t="s">
        <v>0</v>
      </c>
      <c r="R80" t="s">
        <v>1</v>
      </c>
      <c r="S80" t="s">
        <v>1</v>
      </c>
      <c r="T80" t="s">
        <v>1</v>
      </c>
    </row>
    <row r="81" spans="1:20" x14ac:dyDescent="0.3">
      <c r="A81" s="2" t="s">
        <v>5</v>
      </c>
      <c r="B81">
        <v>8</v>
      </c>
      <c r="G81">
        <v>20.966360000000002</v>
      </c>
      <c r="H81">
        <v>1159.96</v>
      </c>
      <c r="I81">
        <v>-23.930140000000002</v>
      </c>
      <c r="P81">
        <f>H81/G81</f>
        <v>55.324815561690251</v>
      </c>
      <c r="S81">
        <f>H81*I81/G81/100</f>
        <v>-13.239305818654264</v>
      </c>
    </row>
    <row r="82" spans="1:20" x14ac:dyDescent="0.3">
      <c r="A82" s="2"/>
      <c r="B82">
        <v>15</v>
      </c>
      <c r="G82">
        <v>18.25986</v>
      </c>
      <c r="H82">
        <v>1276.1099999999999</v>
      </c>
      <c r="I82">
        <v>-23.061869999999999</v>
      </c>
      <c r="P82">
        <f>H82/G82</f>
        <v>69.886077987454442</v>
      </c>
      <c r="S82">
        <f>H82*I82/G82/100</f>
        <v>-16.117036453565358</v>
      </c>
    </row>
    <row r="83" spans="1:20" x14ac:dyDescent="0.3">
      <c r="A83" s="2"/>
      <c r="B83">
        <v>30</v>
      </c>
      <c r="G83">
        <v>16.596340000000001</v>
      </c>
      <c r="H83">
        <v>1512.02</v>
      </c>
      <c r="I83">
        <v>-21.854220000000002</v>
      </c>
      <c r="P83">
        <f>H83/G83</f>
        <v>91.105629313451033</v>
      </c>
      <c r="S83">
        <f>H83*I83/G83/100</f>
        <v>-19.910424662546077</v>
      </c>
    </row>
    <row r="84" spans="1:20" x14ac:dyDescent="0.3">
      <c r="A84" s="2"/>
      <c r="B84">
        <v>45</v>
      </c>
    </row>
    <row r="85" spans="1:20" x14ac:dyDescent="0.3">
      <c r="A85" s="2"/>
      <c r="B85">
        <v>60</v>
      </c>
    </row>
    <row r="90" spans="1:20" x14ac:dyDescent="0.3">
      <c r="D90" t="s">
        <v>2</v>
      </c>
      <c r="H90" t="s">
        <v>3</v>
      </c>
      <c r="L90" t="s">
        <v>4</v>
      </c>
    </row>
    <row r="91" spans="1:20" x14ac:dyDescent="0.3">
      <c r="O91" t="s">
        <v>2</v>
      </c>
      <c r="P91" t="s">
        <v>3</v>
      </c>
      <c r="Q91" t="s">
        <v>4</v>
      </c>
      <c r="R91" t="s">
        <v>2</v>
      </c>
      <c r="S91" t="s">
        <v>3</v>
      </c>
      <c r="T91" t="s">
        <v>4</v>
      </c>
    </row>
    <row r="92" spans="1:20" x14ac:dyDescent="0.3">
      <c r="B92" t="s">
        <v>6</v>
      </c>
      <c r="C92" t="s">
        <v>9</v>
      </c>
      <c r="D92" t="s">
        <v>7</v>
      </c>
      <c r="E92" t="s">
        <v>8</v>
      </c>
      <c r="G92" t="s">
        <v>9</v>
      </c>
      <c r="H92" t="s">
        <v>7</v>
      </c>
      <c r="I92" t="s">
        <v>8</v>
      </c>
      <c r="K92" t="s">
        <v>9</v>
      </c>
      <c r="L92" t="s">
        <v>7</v>
      </c>
      <c r="M92" t="s">
        <v>8</v>
      </c>
      <c r="O92" t="s">
        <v>0</v>
      </c>
      <c r="P92" t="s">
        <v>0</v>
      </c>
      <c r="Q92" t="s">
        <v>0</v>
      </c>
      <c r="R92" t="s">
        <v>1</v>
      </c>
      <c r="S92" t="s">
        <v>1</v>
      </c>
      <c r="T92" t="s">
        <v>1</v>
      </c>
    </row>
    <row r="93" spans="1:20" x14ac:dyDescent="0.3">
      <c r="A93" s="2" t="s">
        <v>10</v>
      </c>
      <c r="B93">
        <v>8</v>
      </c>
      <c r="G93">
        <v>18.568359999999998</v>
      </c>
      <c r="H93">
        <v>1044.0899999999999</v>
      </c>
      <c r="I93">
        <v>-27.049880000000002</v>
      </c>
      <c r="P93">
        <f>H93/G93</f>
        <v>56.229521616340918</v>
      </c>
      <c r="S93">
        <f>H93*I93/G93/100</f>
        <v>-15.210018121794281</v>
      </c>
    </row>
    <row r="94" spans="1:20" x14ac:dyDescent="0.3">
      <c r="A94" s="2"/>
      <c r="B94">
        <v>15</v>
      </c>
      <c r="G94">
        <v>16.793199999999999</v>
      </c>
      <c r="H94">
        <v>1148.08</v>
      </c>
      <c r="I94">
        <v>-27.26125</v>
      </c>
      <c r="P94">
        <f t="shared" ref="P94:P95" si="20">H94/G94</f>
        <v>68.365767096205602</v>
      </c>
      <c r="S94">
        <f t="shared" ref="S94:S97" si="21">H94*I94/G94/100</f>
        <v>-18.63736268251435</v>
      </c>
    </row>
    <row r="95" spans="1:20" x14ac:dyDescent="0.3">
      <c r="A95" s="2"/>
      <c r="B95">
        <v>30</v>
      </c>
      <c r="G95">
        <v>13.768890000000001</v>
      </c>
      <c r="H95">
        <v>1359.98</v>
      </c>
      <c r="I95">
        <v>-19.783049999999999</v>
      </c>
      <c r="P95">
        <f t="shared" si="20"/>
        <v>98.77194167431071</v>
      </c>
      <c r="S95">
        <f t="shared" si="21"/>
        <v>-19.540102607399721</v>
      </c>
    </row>
    <row r="96" spans="1:20" x14ac:dyDescent="0.3">
      <c r="A96" s="2"/>
      <c r="B96">
        <v>45</v>
      </c>
      <c r="G96">
        <v>13.707739999999999</v>
      </c>
      <c r="H96">
        <v>1544.09</v>
      </c>
      <c r="I96">
        <v>-21.797809999999998</v>
      </c>
      <c r="P96">
        <f>H96/G96</f>
        <v>112.64365971341738</v>
      </c>
      <c r="S96">
        <f t="shared" si="21"/>
        <v>-24.553850921377261</v>
      </c>
    </row>
    <row r="97" spans="1:20" x14ac:dyDescent="0.3">
      <c r="A97" s="2"/>
      <c r="B97">
        <v>60</v>
      </c>
      <c r="P97" t="e">
        <f>H97/G97</f>
        <v>#DIV/0!</v>
      </c>
      <c r="S97" t="e">
        <f t="shared" si="21"/>
        <v>#DIV/0!</v>
      </c>
    </row>
    <row r="104" spans="1:20" x14ac:dyDescent="0.3">
      <c r="D104" t="s">
        <v>2</v>
      </c>
      <c r="H104" t="s">
        <v>3</v>
      </c>
      <c r="L104" t="s">
        <v>4</v>
      </c>
    </row>
    <row r="105" spans="1:20" x14ac:dyDescent="0.3">
      <c r="O105" t="s">
        <v>2</v>
      </c>
      <c r="P105" t="s">
        <v>3</v>
      </c>
      <c r="Q105" t="s">
        <v>4</v>
      </c>
      <c r="R105" t="s">
        <v>2</v>
      </c>
      <c r="S105" t="s">
        <v>3</v>
      </c>
      <c r="T105" t="s">
        <v>4</v>
      </c>
    </row>
    <row r="106" spans="1:20" x14ac:dyDescent="0.3">
      <c r="B106" t="s">
        <v>6</v>
      </c>
      <c r="C106" t="s">
        <v>9</v>
      </c>
      <c r="D106" t="s">
        <v>7</v>
      </c>
      <c r="E106" t="s">
        <v>8</v>
      </c>
      <c r="G106" t="s">
        <v>9</v>
      </c>
      <c r="H106" t="s">
        <v>7</v>
      </c>
      <c r="I106" t="s">
        <v>8</v>
      </c>
      <c r="K106" t="s">
        <v>9</v>
      </c>
      <c r="L106" t="s">
        <v>7</v>
      </c>
      <c r="M106" t="s">
        <v>8</v>
      </c>
      <c r="O106" t="s">
        <v>0</v>
      </c>
      <c r="P106" t="s">
        <v>0</v>
      </c>
      <c r="Q106" t="s">
        <v>0</v>
      </c>
      <c r="R106" t="s">
        <v>1</v>
      </c>
      <c r="S106" t="s">
        <v>1</v>
      </c>
      <c r="T106" t="s">
        <v>1</v>
      </c>
    </row>
    <row r="107" spans="1:20" x14ac:dyDescent="0.3">
      <c r="A107" s="2" t="s">
        <v>11</v>
      </c>
      <c r="B107">
        <v>8</v>
      </c>
      <c r="G107">
        <v>17.0395</v>
      </c>
      <c r="H107">
        <v>932.02</v>
      </c>
      <c r="I107">
        <v>-39.271459999999998</v>
      </c>
      <c r="P107">
        <f>H107/G107</f>
        <v>54.697614366618737</v>
      </c>
      <c r="S107">
        <f>H107*I107/G107/100</f>
        <v>-21.480551746940929</v>
      </c>
    </row>
    <row r="108" spans="1:20" x14ac:dyDescent="0.3">
      <c r="A108" s="2"/>
      <c r="B108">
        <v>15</v>
      </c>
      <c r="G108">
        <v>16.139890000000001</v>
      </c>
      <c r="H108">
        <v>1023.99</v>
      </c>
      <c r="I108">
        <v>-36.99736</v>
      </c>
      <c r="P108">
        <f t="shared" ref="P108:P109" si="22">H108/G108</f>
        <v>63.44467031683611</v>
      </c>
      <c r="S108">
        <f t="shared" ref="S108:S111" si="23">H108*I108/G108/100</f>
        <v>-23.472853077932996</v>
      </c>
    </row>
    <row r="109" spans="1:20" x14ac:dyDescent="0.3">
      <c r="A109" s="2"/>
      <c r="B109">
        <v>30</v>
      </c>
      <c r="G109">
        <v>13.06418</v>
      </c>
      <c r="H109">
        <v>1212.02</v>
      </c>
      <c r="I109">
        <v>-28.747520000000002</v>
      </c>
      <c r="P109">
        <f t="shared" si="22"/>
        <v>92.774288168105457</v>
      </c>
      <c r="S109">
        <f t="shared" si="23"/>
        <v>-26.670307045983751</v>
      </c>
    </row>
    <row r="110" spans="1:20" x14ac:dyDescent="0.3">
      <c r="A110" s="2"/>
      <c r="B110">
        <v>45</v>
      </c>
      <c r="G110">
        <v>10.709210000000001</v>
      </c>
      <c r="H110">
        <v>1376.09</v>
      </c>
      <c r="I110">
        <v>-22.30735</v>
      </c>
      <c r="P110">
        <f>H110/G110</f>
        <v>128.4959394763946</v>
      </c>
      <c r="S110">
        <f t="shared" si="23"/>
        <v>-28.664038954787511</v>
      </c>
    </row>
    <row r="111" spans="1:20" x14ac:dyDescent="0.3">
      <c r="A111" s="2"/>
      <c r="B111">
        <v>60</v>
      </c>
      <c r="P111" t="e">
        <f>H111/G111</f>
        <v>#DIV/0!</v>
      </c>
      <c r="S111" t="e">
        <f t="shared" si="23"/>
        <v>#DIV/0!</v>
      </c>
    </row>
  </sheetData>
  <mergeCells count="9">
    <mergeCell ref="A81:A85"/>
    <mergeCell ref="A93:A97"/>
    <mergeCell ref="A107:A111"/>
    <mergeCell ref="G71:O73"/>
    <mergeCell ref="A7:A11"/>
    <mergeCell ref="A19:A23"/>
    <mergeCell ref="A33:A37"/>
    <mergeCell ref="A48:A52"/>
    <mergeCell ref="A62:A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Marijus Mozdeikis</dc:creator>
  <cp:lastModifiedBy>Marijus Mozdeikis</cp:lastModifiedBy>
  <dcterms:created xsi:type="dcterms:W3CDTF">2025-07-23T12:52:34Z</dcterms:created>
  <dcterms:modified xsi:type="dcterms:W3CDTF">2025-08-05T17:54:37Z</dcterms:modified>
</cp:coreProperties>
</file>